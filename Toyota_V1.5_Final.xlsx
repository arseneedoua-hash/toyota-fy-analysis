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<sst xmlns="http://schemas.openxmlformats.org/spreadsheetml/2006/main" count="29" uniqueCount="29">
  <si>
    <t>TOYOTA MOTOR COORPORATION-  Raw Data *IFRS 2020-2024</t>
  </si>
  <si>
    <r>
      <rPr>
        <b/>
        <u/>
        <sz val="11"/>
        <color theme="1"/>
        <rFont val="Arial"/>
        <charset val="134"/>
      </rPr>
      <t>Metrics (</t>
    </r>
    <r>
      <rPr>
        <b/>
        <u/>
        <sz val="9"/>
        <color theme="1"/>
        <rFont val="Arial"/>
        <charset val="134"/>
      </rPr>
      <t>Thousand of yens</t>
    </r>
    <r>
      <rPr>
        <b/>
        <u/>
        <sz val="11"/>
        <color theme="1"/>
        <rFont val="Arial"/>
        <charset val="134"/>
      </rPr>
      <t>)</t>
    </r>
  </si>
  <si>
    <t>FY2024</t>
  </si>
  <si>
    <t>% change 24/23</t>
  </si>
  <si>
    <t>FY2023</t>
  </si>
  <si>
    <t>Revenues</t>
  </si>
  <si>
    <t>Operating Income</t>
  </si>
  <si>
    <t>Net  Income</t>
  </si>
  <si>
    <t>Total Assets</t>
  </si>
  <si>
    <t>Total Equity</t>
  </si>
  <si>
    <t>Total Debts/Interest-bearing debt</t>
  </si>
  <si>
    <t>Cash</t>
  </si>
  <si>
    <t>Current Assets</t>
  </si>
  <si>
    <t>Current Liabilities</t>
  </si>
  <si>
    <t>Cost of Goods Sold/ Cost of revenue</t>
  </si>
  <si>
    <t>Selling, General and Administrative expenses</t>
  </si>
  <si>
    <t>Interest Expense</t>
  </si>
  <si>
    <t>Interest Income</t>
  </si>
  <si>
    <t>Net interest income</t>
  </si>
  <si>
    <t>EBIT</t>
  </si>
  <si>
    <t>EBITDA</t>
  </si>
  <si>
    <t>///////////////////////////////////////////////////////////////////////////////////////////////////////////////////////////////////////////////////////////////////////////////////////////////////</t>
  </si>
  <si>
    <t>ROE</t>
  </si>
  <si>
    <t>Debt/Equity</t>
  </si>
  <si>
    <t>Operating Margin</t>
  </si>
  <si>
    <t>Net Margin</t>
  </si>
  <si>
    <t>Asset Turnover</t>
  </si>
  <si>
    <t>Cash/Assets</t>
  </si>
  <si>
    <t>Current Ratio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</si>
</sst>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_ [$¥-804]* #,##0.00_ ;_ [$¥-804]* \-#,##0.00_ ;_ [$¥-804]* &quot;-&quot;??_ ;_ @_ "/>
    <numFmt numFmtId="179" formatCode="0.00_);[Red]\(0.00\)"/>
  </numFmts>
  <fonts count="33">
    <font>
      <sz val="11"/>
      <color theme="1"/>
      <name val="Calibri"/>
      <charset val="134"/>
      <scheme val="minor"/>
    </font>
    <font>
      <u/>
      <sz val="14"/>
      <color theme="1"/>
      <name val="Arial Black"/>
      <charset val="134"/>
    </font>
    <font>
      <sz val="9"/>
      <color theme="1"/>
      <name val="Arial"/>
      <charset val="134"/>
    </font>
    <font>
      <sz val="12"/>
      <color theme="1"/>
      <name val="Arial"/>
      <charset val="134"/>
    </font>
    <font>
      <b/>
      <sz val="11"/>
      <color theme="1"/>
      <name val="Arial"/>
      <charset val="134"/>
    </font>
    <font>
      <b/>
      <u/>
      <sz val="14"/>
      <color theme="1"/>
      <name val="Arial Black"/>
      <charset val="134"/>
    </font>
    <font>
      <b/>
      <sz val="9"/>
      <color theme="1"/>
      <name val="Arial"/>
      <charset val="134"/>
    </font>
    <font>
      <b/>
      <u/>
      <sz val="11"/>
      <color theme="1"/>
      <name val="Arial"/>
      <charset val="134"/>
    </font>
    <font>
      <sz val="14"/>
      <color theme="1"/>
      <name val="Candara"/>
      <charset val="134"/>
    </font>
    <font>
      <i/>
      <sz val="9"/>
      <name val="Calibri"/>
      <charset val="134"/>
      <scheme val="minor"/>
    </font>
    <font>
      <sz val="10.5"/>
      <color rgb="FF232A31"/>
      <name val="Arial"/>
      <charset val="134"/>
    </font>
    <font>
      <sz val="10.5"/>
      <color rgb="FF00B050"/>
      <name val="Arial"/>
      <charset val="134"/>
    </font>
    <font>
      <b/>
      <sz val="12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u/>
      <sz val="9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3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3" borderId="4" applyNumberFormat="0" applyAlignment="0" applyProtection="0">
      <alignment vertical="center"/>
    </xf>
    <xf numFmtId="0" fontId="22" fillId="4" borderId="5" applyNumberFormat="0" applyAlignment="0" applyProtection="0">
      <alignment vertical="center"/>
    </xf>
    <xf numFmtId="0" fontId="23" fillId="4" borderId="4" applyNumberFormat="0" applyAlignment="0" applyProtection="0">
      <alignment vertical="center"/>
    </xf>
    <xf numFmtId="0" fontId="24" fillId="5" borderId="6" applyNumberFormat="0" applyAlignment="0" applyProtection="0">
      <alignment vertical="center"/>
    </xf>
    <xf numFmtId="0" fontId="25" fillId="0" borderId="7" applyNumberFormat="0" applyFill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8" fillId="7" borderId="0" applyNumberFormat="0" applyBorder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1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0" fillId="13" borderId="0" applyNumberFormat="0" applyBorder="0" applyAlignment="0" applyProtection="0">
      <alignment vertical="center"/>
    </xf>
    <xf numFmtId="0" fontId="31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0" fillId="17" borderId="0" applyNumberFormat="0" applyBorder="0" applyAlignment="0" applyProtection="0">
      <alignment vertical="center"/>
    </xf>
    <xf numFmtId="0" fontId="31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5" borderId="0" applyNumberFormat="0" applyBorder="0" applyAlignment="0" applyProtection="0">
      <alignment vertical="center"/>
    </xf>
    <xf numFmtId="0" fontId="31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178" fontId="0" fillId="0" borderId="0" xfId="0" applyNumberFormat="1">
      <alignment vertical="center"/>
    </xf>
    <xf numFmtId="0" fontId="5" fillId="0" borderId="0" xfId="0" applyFont="1" applyAlignment="1">
      <alignment horizontal="left" vertical="center"/>
    </xf>
    <xf numFmtId="0" fontId="6" fillId="0" borderId="0" xfId="0" applyFont="1">
      <alignment vertical="center"/>
    </xf>
    <xf numFmtId="178" fontId="2" fillId="0" borderId="0" xfId="0" applyNumberFormat="1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178" fontId="10" fillId="0" borderId="0" xfId="0" applyNumberFormat="1" applyFont="1" applyBorder="1">
      <alignment vertical="center"/>
    </xf>
    <xf numFmtId="9" fontId="11" fillId="0" borderId="0" xfId="3" applyFont="1" applyAlignment="1">
      <alignment horizontal="center" vertical="center"/>
    </xf>
    <xf numFmtId="178" fontId="10" fillId="0" borderId="0" xfId="0" applyNumberFormat="1" applyFont="1">
      <alignment vertical="center"/>
    </xf>
    <xf numFmtId="0" fontId="12" fillId="0" borderId="0" xfId="0" applyFont="1">
      <alignment vertical="center"/>
    </xf>
    <xf numFmtId="178" fontId="3" fillId="0" borderId="0" xfId="0" applyNumberFormat="1" applyFont="1">
      <alignment vertical="center"/>
    </xf>
    <xf numFmtId="9" fontId="0" fillId="0" borderId="0" xfId="3">
      <alignment vertical="center"/>
    </xf>
    <xf numFmtId="179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sz="1200" i="1"/>
              <a:t>Toyota: Revenue, Op Income &amp; Net Income FY23 vs FY24</a:t>
            </a:r>
            <a:endParaRPr sz="1200" i="1"/>
          </a:p>
        </c:rich>
      </c:tx>
      <c:layout>
        <c:manualLayout>
          <c:xMode val="edge"/>
          <c:yMode val="edge"/>
          <c:x val="0.155263157894737"/>
          <c:y val="0.0277777777777778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FY2024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Sheet1!$A$5:$A$7</c:f>
              <c:strCache>
                <c:ptCount val="3"/>
                <c:pt idx="0">
                  <c:v>Revenues</c:v>
                </c:pt>
                <c:pt idx="1">
                  <c:v>Operating Income</c:v>
                </c:pt>
                <c:pt idx="2">
                  <c:v>Net  Income</c:v>
                </c:pt>
              </c:strCache>
            </c:strRef>
          </c:cat>
          <c:val>
            <c:numRef>
              <c:f>Sheet1!$D$5:$D$7</c:f>
              <c:numCache>
                <c:formatCode>_ [$¥-804]* #,##0.00_ ;_ [$¥-804]* \-#,##0.00_ ;_ [$¥-804]* "-"??_ ;_ @_ </c:formatCode>
                <c:ptCount val="3"/>
                <c:pt idx="0">
                  <c:v>45095325000</c:v>
                </c:pt>
                <c:pt idx="1">
                  <c:v>5352935000</c:v>
                </c:pt>
                <c:pt idx="2">
                  <c:v>4944933000</c:v>
                </c:pt>
              </c:numCache>
            </c:numRef>
          </c:val>
        </c:ser>
        <c:ser>
          <c:idx val="1"/>
          <c:order val="1"/>
          <c:tx>
            <c:strRef>
              <c:f>Sheet1!$F$4</c:f>
              <c:strCache>
                <c:ptCount val="1"/>
                <c:pt idx="0">
                  <c:v>FY2023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Sheet1!$A$5:$A$7</c:f>
              <c:strCache>
                <c:ptCount val="3"/>
                <c:pt idx="0">
                  <c:v>Revenues</c:v>
                </c:pt>
                <c:pt idx="1">
                  <c:v>Operating Income</c:v>
                </c:pt>
                <c:pt idx="2">
                  <c:v>Net  Income</c:v>
                </c:pt>
              </c:strCache>
            </c:strRef>
          </c:cat>
          <c:val>
            <c:numRef>
              <c:f>Sheet1!$F$5:$F$7</c:f>
              <c:numCache>
                <c:formatCode>_ [$¥-804]* #,##0.00_ ;_ [$¥-804]* \-#,##0.00_ ;_ [$¥-804]* "-"??_ ;_ @_ </c:formatCode>
                <c:ptCount val="3"/>
                <c:pt idx="0">
                  <c:v>37154298000</c:v>
                </c:pt>
                <c:pt idx="1">
                  <c:v>2725026000</c:v>
                </c:pt>
                <c:pt idx="2">
                  <c:v>2451318000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662960868"/>
        <c:axId val="833062737"/>
      </c:barChart>
      <c:catAx>
        <c:axId val="66296086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3062737"/>
        <c:crosses val="autoZero"/>
        <c:auto val="1"/>
        <c:lblAlgn val="ctr"/>
        <c:lblOffset val="100"/>
        <c:noMultiLvlLbl val="0"/>
      </c:catAx>
      <c:valAx>
        <c:axId val="83306273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_ [$¥-804]* #,##0.00_ ;_ [$¥-804]* \-#,##0.00_ ;_ [$¥-804]* &quot;-&quot;??_ ;_ @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62960868"/>
        <c:crosses val="autoZero"/>
        <c:crossBetween val="between"/>
        <c:dispUnits>
          <c:builtInUnit val="billions"/>
          <c:dispUnitsLbl>
            <c:layout/>
            <c:spPr>
              <a:noFill/>
              <a:ln>
                <a:noFill/>
              </a:ln>
              <a:effectLst/>
            </c:spPr>
            <c:txPr>
              <a:bodyPr rot="-5400000" spcFirstLastPara="0" vertOverflow="ellipsis" vert="horz" wrap="square" anchor="ctr" anchorCtr="1">
                <a:spAutoFit/>
              </a:bodyPr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09295f24-0e6a-455f-9c8d-5a4a20f7cc17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6</xdr:col>
      <xdr:colOff>107950</xdr:colOff>
      <xdr:row>7</xdr:row>
      <xdr:rowOff>88900</xdr:rowOff>
    </xdr:from>
    <xdr:to>
      <xdr:col>12</xdr:col>
      <xdr:colOff>304800</xdr:colOff>
      <xdr:row>20</xdr:row>
      <xdr:rowOff>155575</xdr:rowOff>
    </xdr:to>
    <xdr:graphicFrame>
      <xdr:nvGraphicFramePr>
        <xdr:cNvPr id="13" name="Chart 12"/>
        <xdr:cNvGraphicFramePr/>
      </xdr:nvGraphicFramePr>
      <xdr:xfrm>
        <a:off x="6584950" y="1527175"/>
        <a:ext cx="4826000" cy="25431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1419225</xdr:colOff>
      <xdr:row>22</xdr:row>
      <xdr:rowOff>85725</xdr:rowOff>
    </xdr:from>
    <xdr:to>
      <xdr:col>11</xdr:col>
      <xdr:colOff>304800</xdr:colOff>
      <xdr:row>25</xdr:row>
      <xdr:rowOff>76200</xdr:rowOff>
    </xdr:to>
    <xdr:sp>
      <xdr:nvSpPr>
        <xdr:cNvPr id="14" name="Rectangle 13"/>
        <xdr:cNvSpPr/>
      </xdr:nvSpPr>
      <xdr:spPr>
        <a:xfrm>
          <a:off x="7896225" y="4391025"/>
          <a:ext cx="2905125" cy="561975"/>
        </a:xfrm>
        <a:prstGeom prst="rect">
          <a:avLst/>
        </a:prstGeom>
        <a:solidFill>
          <a:schemeClr val="bg2"/>
        </a:solidFill>
        <a:ln>
          <a:solidFill>
            <a:schemeClr val="accent1"/>
          </a:solidFill>
        </a:ln>
      </xdr:spPr>
      <xdr:style>
        <a:lnRef idx="3">
          <a:schemeClr val="accent1"/>
        </a:lnRef>
        <a:fillRef idx="0">
          <a:srgbClr val="FFFFFF"/>
        </a:fillRef>
        <a:effectRef idx="0">
          <a:srgbClr val="FFFFFF"/>
        </a:effectRef>
        <a:fontRef idx="minor">
          <a:schemeClr val="tx1"/>
        </a:fontRef>
      </xdr:style>
      <xdr:txBody>
        <a:bodyPr vertOverflow="clip" horzOverflow="clip" wrap="square" rtlCol="0" anchor="t"/>
        <a:p>
          <a:pPr algn="ctr"/>
          <a:r>
            <a:rPr lang="en-US" sz="1100" i="1">
              <a:latin typeface="Arial" panose="020B0604020202020204" pitchFamily="7" charset="0"/>
              <a:cs typeface="Arial" panose="020B0604020202020204" pitchFamily="7" charset="0"/>
            </a:rPr>
            <a:t>Profit grew 5 times faster than sales ; TOYOTA improved margins in FY2024</a:t>
          </a:r>
          <a:endParaRPr lang="en-US" sz="1100" i="1">
            <a:latin typeface="Arial" panose="020B0604020202020204" pitchFamily="7" charset="0"/>
            <a:cs typeface="Arial" panose="020B0604020202020204" pitchFamily="7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0"/>
  <sheetViews>
    <sheetView tabSelected="1" topLeftCell="A11" workbookViewId="0">
      <selection activeCell="A16" sqref="$A16:$XFD16"/>
    </sheetView>
  </sheetViews>
  <sheetFormatPr defaultColWidth="9.14285714285714" defaultRowHeight="15" outlineLevelCol="5"/>
  <cols>
    <col min="1" max="1" width="21.7142857142857" style="4" customWidth="1"/>
    <col min="4" max="4" width="24" style="5" customWidth="1"/>
    <col min="5" max="5" width="13.4285714285714" style="5" customWidth="1"/>
    <col min="6" max="6" width="19.7142857142857" style="5" customWidth="1"/>
    <col min="7" max="7" width="23.7142857142857" customWidth="1"/>
  </cols>
  <sheetData>
    <row r="1" s="1" customFormat="1" ht="22.5" spans="1:6">
      <c r="A1" s="6"/>
      <c r="D1" s="1" t="s">
        <v>0</v>
      </c>
    </row>
    <row r="2" spans="1:6">
      <c r="E2"/>
      <c r="F2"/>
    </row>
    <row r="3" s="2" customFormat="1" ht="12" spans="1:6">
      <c r="A3" s="7"/>
      <c r="D3" s="8"/>
    </row>
    <row r="4" ht="18.75" spans="1:6">
      <c r="A4" s="9" t="s">
        <v>1</v>
      </c>
      <c r="D4" s="10" t="s">
        <v>2</v>
      </c>
      <c r="E4" s="11" t="s">
        <v>3</v>
      </c>
      <c r="F4" s="10" t="s">
        <v>4</v>
      </c>
    </row>
    <row r="5" spans="1:6">
      <c r="A5" s="4" t="s">
        <v>5</v>
      </c>
      <c r="D5" s="12">
        <v>45095325000</v>
      </c>
      <c r="E5" s="13">
        <f>(D5-F5)/F5</f>
        <v>0.2137310466746</v>
      </c>
      <c r="F5" s="14">
        <v>37154298000</v>
      </c>
    </row>
    <row r="6" spans="1:6">
      <c r="A6" s="4" t="s">
        <v>6</v>
      </c>
      <c r="D6" s="14">
        <v>5352935000</v>
      </c>
      <c r="E6" s="13">
        <f>(D6-F6)/F6</f>
        <v>0.964361073986083</v>
      </c>
      <c r="F6" s="14">
        <v>2725026000</v>
      </c>
    </row>
    <row r="7" spans="1:6">
      <c r="A7" s="4" t="s">
        <v>7</v>
      </c>
      <c r="D7" s="14">
        <v>4944933000</v>
      </c>
      <c r="E7" s="13">
        <f>(D7-F7)/F7</f>
        <v>1.01725479925493</v>
      </c>
      <c r="F7" s="14">
        <v>2451318000</v>
      </c>
    </row>
    <row r="8" spans="1:6">
      <c r="A8" s="4" t="s">
        <v>8</v>
      </c>
      <c r="D8" s="14">
        <v>90114296000</v>
      </c>
      <c r="E8" s="14"/>
      <c r="F8" s="14">
        <v>74303180000</v>
      </c>
    </row>
    <row r="9" spans="1:6">
      <c r="A9" s="4" t="s">
        <v>9</v>
      </c>
      <c r="D9" s="14">
        <v>35239338000</v>
      </c>
      <c r="E9" s="14"/>
      <c r="F9" s="14">
        <v>29264213000</v>
      </c>
    </row>
    <row r="10" spans="1:6">
      <c r="A10" s="4" t="s">
        <v>10</v>
      </c>
      <c r="D10" s="14">
        <v>36561781000</v>
      </c>
      <c r="E10" s="14"/>
      <c r="F10" s="14">
        <v>29380272000</v>
      </c>
    </row>
    <row r="11" spans="1:6">
      <c r="A11" s="4" t="s">
        <v>11</v>
      </c>
      <c r="D11" s="12">
        <v>6245257000</v>
      </c>
      <c r="E11" s="14"/>
      <c r="F11" s="14">
        <v>5948297000</v>
      </c>
    </row>
    <row r="12" spans="1:6">
      <c r="A12" s="4" t="s">
        <v>12</v>
      </c>
      <c r="D12" s="14">
        <v>34714279000</v>
      </c>
      <c r="E12" s="14"/>
      <c r="F12" s="14">
        <v>26459781000</v>
      </c>
    </row>
    <row r="13" spans="1:6">
      <c r="A13" s="4" t="s">
        <v>13</v>
      </c>
      <c r="D13" s="14">
        <v>29177909000</v>
      </c>
      <c r="E13" s="14"/>
      <c r="F13" s="14">
        <v>23959715000</v>
      </c>
    </row>
    <row r="14" spans="1:6">
      <c r="A14" s="4" t="s">
        <v>14</v>
      </c>
      <c r="D14" s="14">
        <v>35727007000</v>
      </c>
      <c r="E14" s="14"/>
      <c r="F14" s="14">
        <v>30841282000</v>
      </c>
    </row>
    <row r="15" spans="1:6">
      <c r="A15" s="4" t="s">
        <v>15</v>
      </c>
      <c r="D15" s="14">
        <v>4015383000</v>
      </c>
      <c r="E15" s="14"/>
      <c r="F15" s="14">
        <v>3587990000</v>
      </c>
    </row>
    <row r="16" spans="1:6">
      <c r="A16" s="4" t="s">
        <v>16</v>
      </c>
      <c r="D16" s="14">
        <v>64733000</v>
      </c>
      <c r="E16" s="14"/>
      <c r="F16" s="14">
        <v>47356000</v>
      </c>
    </row>
    <row r="17" spans="1:6">
      <c r="A17" s="4" t="s">
        <v>17</v>
      </c>
      <c r="D17" s="14">
        <v>454688000</v>
      </c>
      <c r="E17" s="14"/>
      <c r="F17" s="14">
        <v>234102000</v>
      </c>
    </row>
    <row r="18" spans="1:6">
      <c r="A18" s="4" t="s">
        <v>18</v>
      </c>
      <c r="D18" s="14">
        <v>516350000</v>
      </c>
      <c r="E18" s="14"/>
      <c r="F18" s="14">
        <v>144928000</v>
      </c>
    </row>
    <row r="19" spans="1:6">
      <c r="A19" s="4" t="s">
        <v>19</v>
      </c>
      <c r="D19" s="14">
        <v>7029818000</v>
      </c>
      <c r="E19" s="14"/>
      <c r="F19" s="14">
        <v>3716089000</v>
      </c>
    </row>
    <row r="20" spans="1:6">
      <c r="A20" s="4" t="s">
        <v>20</v>
      </c>
      <c r="D20" s="14">
        <v>9116884000</v>
      </c>
      <c r="E20" s="14"/>
      <c r="F20" s="14">
        <v>5755993000</v>
      </c>
    </row>
    <row r="22" s="3" customFormat="1" ht="15.75" spans="1:6">
      <c r="A22" s="15" t="s">
        <v>21</v>
      </c>
      <c r="B22" s="3"/>
      <c r="D22" s="16"/>
      <c r="E22" s="16"/>
      <c r="F22" s="16"/>
    </row>
    <row r="24" spans="1:6">
      <c r="A24" s="4" t="s">
        <v>22</v>
      </c>
      <c r="D24" s="17">
        <f>D7/D9</f>
        <v>0.140324230835437</v>
      </c>
      <c r="F24" s="17">
        <f>F7/F9</f>
        <v>0.0837650409392523</v>
      </c>
    </row>
    <row r="25" spans="1:6">
      <c r="A25" s="4" t="s">
        <v>23</v>
      </c>
      <c r="D25" s="5">
        <f>D10/D9</f>
        <v>1.03752746433545</v>
      </c>
      <c r="F25" s="5">
        <f>F10/F9</f>
        <v>1.00396590197044</v>
      </c>
    </row>
    <row r="26" spans="1:6">
      <c r="A26" s="4" t="s">
        <v>24</v>
      </c>
      <c r="D26" s="17">
        <f>D19/D5</f>
        <v>0.155887955126169</v>
      </c>
      <c r="F26" s="17">
        <f>F19/F5</f>
        <v>0.100017742227292</v>
      </c>
    </row>
    <row r="27" spans="1:6">
      <c r="A27" s="4" t="s">
        <v>25</v>
      </c>
      <c r="D27" s="17">
        <f>D7/D5</f>
        <v>0.109655113917019</v>
      </c>
      <c r="F27" s="17">
        <f>F7/F5</f>
        <v>0.0659767007305588</v>
      </c>
    </row>
    <row r="28" spans="1:6">
      <c r="A28" s="4" t="s">
        <v>26</v>
      </c>
      <c r="D28" s="5">
        <f>D5/D8</f>
        <v>0.500423650871112</v>
      </c>
      <c r="F28" s="5">
        <f>F5/F8</f>
        <v>0.500036445277309</v>
      </c>
    </row>
    <row r="29" spans="1:6">
      <c r="A29" s="4" t="s">
        <v>27</v>
      </c>
      <c r="D29" s="5">
        <f>D11/D8</f>
        <v>0.069303731785243</v>
      </c>
      <c r="F29" s="5">
        <f>F11/F8</f>
        <v>0.0800544068235034</v>
      </c>
    </row>
    <row r="30" spans="1:6">
      <c r="A30" s="4" t="s">
        <v>28</v>
      </c>
      <c r="D30" s="18">
        <f>D12/D13</f>
        <v>1.18974526241754</v>
      </c>
      <c r="F30" s="5">
        <f>F12/F13</f>
        <v>1.10434456336396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arsen</dc:creator>
  <cp:lastModifiedBy>Arsène Edoua</cp:lastModifiedBy>
  <dcterms:created xsi:type="dcterms:W3CDTF">2026-06-02T10:21:00Z</dcterms:created>
  <dcterms:modified xsi:type="dcterms:W3CDTF">2026-06-03T23:10:35Z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11D7F17E7E75473EBD290311D18307E9_11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1</vt:i4>
  </property>
</Properties>
</file>